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数据概览" sheetId="1" state="visible" r:id="rId1"/>
    <sheet name="设备状态" sheetId="2" state="visible" r:id="rId2"/>
    <sheet name="告警记录" sheetId="3" state="visible" r:id="rId3"/>
    <sheet name="历史趋势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微软雅黑"/>
      <b val="1"/>
      <sz val="14"/>
    </font>
    <font>
      <b val="1"/>
      <sz val="11"/>
    </font>
    <font>
      <name val="微软雅黑"/>
      <b val="1"/>
      <color rgb="00FFFFFF"/>
      <sz val="11"/>
    </font>
    <font>
      <color rgb="00FFA500"/>
    </font>
    <font>
      <color rgb="00FF3366"/>
    </font>
    <font>
      <color rgb="004ECDC4"/>
    </font>
  </fonts>
  <fills count="3">
    <fill>
      <patternFill/>
    </fill>
    <fill>
      <patternFill patternType="gray125"/>
    </fill>
    <fill>
      <patternFill patternType="solid">
        <fgColor rgb="002D8A6E"/>
        <bgColor rgb="002D8A6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2" borderId="1" applyAlignment="1" pivotButton="0" quotePrefix="0" xfId="0">
      <alignment horizontal="center"/>
    </xf>
    <xf numFmtId="0" fontId="0" fillId="0" borderId="1" pivotButton="0" quotePrefix="0" xfId="0"/>
    <xf numFmtId="0" fontId="3" fillId="2" borderId="1" pivotButton="0" quotePrefix="0" xfId="0"/>
    <xf numFmtId="0" fontId="1" fillId="0" borderId="0" pivotButton="0" quotePrefix="0" xfId="0"/>
    <xf numFmtId="0" fontId="4" fillId="0" borderId="1" pivotButton="0" quotePrefix="0" xfId="0"/>
    <xf numFmtId="0" fontId="5" fillId="0" borderId="1" pivotButton="0" quotePrefix="0" xfId="0"/>
    <xf numFmtId="0" fontId="6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cols>
    <col width="40" customWidth="1" min="1" max="1"/>
    <col width="12" customWidth="1" min="2" max="2"/>
    <col width="12" customWidth="1" min="3" max="3"/>
    <col width="19" customWidth="1" min="4" max="4"/>
    <col width="12" customWidth="1" min="5" max="5"/>
    <col width="12" customWidth="1" min="6" max="6"/>
  </cols>
  <sheetData>
    <row r="1">
      <c r="A1" s="1" t="inlineStr">
        <is>
          <t>慧植本草 — 传感器数据概览 (2026-05-18 21:15:46)</t>
        </is>
      </c>
    </row>
    <row r="2"/>
    <row r="3">
      <c r="A3" s="2">
        <f>== 有棚区传感器数据 ===</f>
        <v/>
      </c>
    </row>
    <row r="4">
      <c r="A4" s="3" t="inlineStr">
        <is>
          <t>参数</t>
        </is>
      </c>
      <c r="B4" s="3" t="inlineStr">
        <is>
          <t>当前值</t>
        </is>
      </c>
      <c r="C4" s="3" t="inlineStr">
        <is>
          <t>单位</t>
        </is>
      </c>
      <c r="D4" s="3" t="inlineStr">
        <is>
          <t>适宜范围</t>
        </is>
      </c>
    </row>
    <row r="5">
      <c r="A5" s="4" t="inlineStr">
        <is>
          <t>光照</t>
        </is>
      </c>
      <c r="B5" s="4" t="n">
        <v>15837</v>
      </c>
      <c r="C5" s="4" t="inlineStr">
        <is>
          <t>lux</t>
        </is>
      </c>
      <c r="D5" s="4" t="inlineStr">
        <is>
          <t>12000-20000 lux</t>
        </is>
      </c>
    </row>
    <row r="6">
      <c r="A6" s="4" t="inlineStr">
        <is>
          <t>pH值</t>
        </is>
      </c>
      <c r="B6" s="4" t="n">
        <v>6.4</v>
      </c>
      <c r="C6" s="4" t="inlineStr"/>
      <c r="D6" s="4" t="inlineStr">
        <is>
          <t>5.5-7.0</t>
        </is>
      </c>
    </row>
    <row r="7">
      <c r="A7" s="4" t="inlineStr">
        <is>
          <t>土壤湿度</t>
        </is>
      </c>
      <c r="B7" s="4" t="n">
        <v>32.9</v>
      </c>
      <c r="C7" s="4" t="inlineStr">
        <is>
          <t>%</t>
        </is>
      </c>
      <c r="D7" s="4" t="inlineStr">
        <is>
          <t>30-60%</t>
        </is>
      </c>
    </row>
    <row r="8">
      <c r="A8" s="4" t="inlineStr">
        <is>
          <t>CO₂浓度</t>
        </is>
      </c>
      <c r="B8" s="4" t="n">
        <v>612</v>
      </c>
      <c r="C8" s="4" t="inlineStr">
        <is>
          <t>ppm</t>
        </is>
      </c>
      <c r="D8" s="4" t="inlineStr">
        <is>
          <t>400-800 ppm</t>
        </is>
      </c>
    </row>
    <row r="9">
      <c r="A9" s="4" t="inlineStr">
        <is>
          <t>空气湿度</t>
        </is>
      </c>
      <c r="B9" s="4" t="n">
        <v>68.59999999999999</v>
      </c>
      <c r="C9" s="4" t="inlineStr">
        <is>
          <t>%</t>
        </is>
      </c>
      <c r="D9" s="4" t="inlineStr">
        <is>
          <t>50-65%</t>
        </is>
      </c>
    </row>
    <row r="10">
      <c r="A10" s="4" t="inlineStr">
        <is>
          <t>空气温度</t>
        </is>
      </c>
      <c r="B10" s="4" t="n">
        <v>26.6</v>
      </c>
      <c r="C10" s="4" t="inlineStr">
        <is>
          <t>°C</t>
        </is>
      </c>
      <c r="D10" s="4" t="inlineStr">
        <is>
          <t>22-30°C</t>
        </is>
      </c>
    </row>
    <row r="11">
      <c r="A11" s="4" t="inlineStr">
        <is>
          <t>钾(K)</t>
        </is>
      </c>
      <c r="B11" s="4" t="n">
        <v>28.5</v>
      </c>
      <c r="C11" s="4" t="inlineStr">
        <is>
          <t>%</t>
        </is>
      </c>
      <c r="D11" s="4" t="inlineStr">
        <is>
          <t>20-40%</t>
        </is>
      </c>
    </row>
    <row r="12">
      <c r="A12" s="4" t="inlineStr">
        <is>
          <t>磷(P)</t>
        </is>
      </c>
      <c r="B12" s="4" t="n">
        <v>193</v>
      </c>
      <c r="C12" s="4" t="inlineStr">
        <is>
          <t>mg/kg</t>
        </is>
      </c>
      <c r="D12" s="4" t="inlineStr">
        <is>
          <t>150-250 mg/kg</t>
        </is>
      </c>
    </row>
    <row r="13">
      <c r="A13" s="4" t="inlineStr">
        <is>
          <t>NDVI</t>
        </is>
      </c>
      <c r="B13" s="4" t="n">
        <v>0.72</v>
      </c>
      <c r="C13" s="4" t="inlineStr"/>
      <c r="D13" s="4" t="inlineStr">
        <is>
          <t>0.6-0.9</t>
        </is>
      </c>
    </row>
    <row r="14">
      <c r="A14" s="4" t="inlineStr">
        <is>
          <t>蒸腾速率</t>
        </is>
      </c>
      <c r="B14" s="4" t="n">
        <v>4.5</v>
      </c>
      <c r="C14" s="4" t="inlineStr"/>
      <c r="D14" s="4" t="inlineStr">
        <is>
          <t>3-6</t>
        </is>
      </c>
    </row>
    <row r="15">
      <c r="A15" s="4" t="inlineStr">
        <is>
          <t>电导率</t>
        </is>
      </c>
      <c r="B15" s="4" t="n">
        <v>1.22</v>
      </c>
      <c r="C15" s="4" t="inlineStr">
        <is>
          <t>mS/cm</t>
        </is>
      </c>
      <c r="D15" s="4" t="inlineStr">
        <is>
          <t>0.8-2.0</t>
        </is>
      </c>
    </row>
    <row r="16"/>
    <row r="17">
      <c r="A17" s="2">
        <f>== 无棚区传感器数据 ===</f>
        <v/>
      </c>
    </row>
    <row r="18">
      <c r="A18" s="5" t="inlineStr">
        <is>
          <t>参数</t>
        </is>
      </c>
      <c r="B18" s="5" t="inlineStr">
        <is>
          <t>当前值</t>
        </is>
      </c>
      <c r="C18" s="5" t="inlineStr">
        <is>
          <t>单位</t>
        </is>
      </c>
    </row>
    <row r="19">
      <c r="A19" s="4" t="inlineStr">
        <is>
          <t>空气温度</t>
        </is>
      </c>
      <c r="B19" s="4" t="n">
        <v>28.5</v>
      </c>
      <c r="C19" s="4" t="inlineStr">
        <is>
          <t>°C</t>
        </is>
      </c>
    </row>
    <row r="20">
      <c r="A20" s="4" t="inlineStr">
        <is>
          <t>空气湿度</t>
        </is>
      </c>
      <c r="B20" s="4" t="n">
        <v>72.59999999999999</v>
      </c>
      <c r="C20" s="4" t="inlineStr">
        <is>
          <t>%</t>
        </is>
      </c>
    </row>
    <row r="21">
      <c r="A21" s="4" t="inlineStr">
        <is>
          <t>CO₂浓度</t>
        </is>
      </c>
      <c r="B21" s="4" t="n">
        <v>423</v>
      </c>
      <c r="C21" s="4" t="inlineStr">
        <is>
          <t>ppm</t>
        </is>
      </c>
    </row>
    <row r="22">
      <c r="A22" s="4" t="inlineStr">
        <is>
          <t>土壤湿度</t>
        </is>
      </c>
      <c r="B22" s="4" t="n">
        <v>45.2</v>
      </c>
      <c r="C22" s="4" t="inlineStr">
        <is>
          <t>%</t>
        </is>
      </c>
    </row>
    <row r="23">
      <c r="A23" s="4" t="inlineStr">
        <is>
          <t>降雨量</t>
        </is>
      </c>
      <c r="B23" s="4" t="n">
        <v>0</v>
      </c>
      <c r="C23" s="4" t="inlineStr">
        <is>
          <t>mm</t>
        </is>
      </c>
    </row>
    <row r="24">
      <c r="A24" s="4" t="inlineStr">
        <is>
          <t>风速</t>
        </is>
      </c>
      <c r="B24" s="4" t="n">
        <v>2.3</v>
      </c>
      <c r="C24" s="4" t="inlineStr">
        <is>
          <t>m/s</t>
        </is>
      </c>
    </row>
    <row r="25">
      <c r="A25" s="4" t="inlineStr">
        <is>
          <t>风向</t>
        </is>
      </c>
      <c r="B25" s="4" t="inlineStr">
        <is>
          <t>东南</t>
        </is>
      </c>
      <c r="C25" s="4" t="inlineStr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0" customWidth="1" min="1" max="1"/>
    <col width="7" customWidth="1" min="2" max="2"/>
    <col width="9" customWidth="1" min="3" max="3"/>
    <col width="15" customWidth="1" min="4" max="4"/>
    <col width="4" customWidth="1" min="5" max="5"/>
  </cols>
  <sheetData>
    <row r="1">
      <c r="A1" s="6" t="inlineStr">
        <is>
          <t>设备运行状态</t>
        </is>
      </c>
    </row>
    <row r="2"/>
    <row r="3">
      <c r="A3" s="5" t="inlineStr">
        <is>
          <t>设备名称</t>
        </is>
      </c>
      <c r="B3" s="5" t="inlineStr">
        <is>
          <t>状态</t>
        </is>
      </c>
      <c r="C3" s="5" t="inlineStr">
        <is>
          <t>功率/参数</t>
        </is>
      </c>
      <c r="D3" s="5" t="inlineStr">
        <is>
          <t>类别</t>
        </is>
      </c>
    </row>
    <row r="4">
      <c r="A4" s="4" t="inlineStr">
        <is>
          <t>通风系统</t>
        </is>
      </c>
      <c r="B4" s="4" t="inlineStr">
        <is>
          <t>运行中</t>
        </is>
      </c>
      <c r="C4" s="4" t="n">
        <v>65</v>
      </c>
      <c r="D4" s="4" t="inlineStr">
        <is>
          <t>ventilation</t>
        </is>
      </c>
    </row>
    <row r="5">
      <c r="A5" s="4" t="inlineStr">
        <is>
          <t>LED补光灯</t>
        </is>
      </c>
      <c r="B5" s="4" t="inlineStr">
        <is>
          <t>运行中</t>
        </is>
      </c>
      <c r="C5" s="4" t="n">
        <v>60</v>
      </c>
      <c r="D5" s="4" t="inlineStr">
        <is>
          <t>lighting</t>
        </is>
      </c>
    </row>
    <row r="6">
      <c r="A6" s="4" t="inlineStr">
        <is>
          <t>智能水肥机</t>
        </is>
      </c>
      <c r="B6" s="4" t="inlineStr">
        <is>
          <t>运行中</t>
        </is>
      </c>
      <c r="C6" s="4" t="n">
        <v>28</v>
      </c>
      <c r="D6" s="4" t="inlineStr">
        <is>
          <t>irrigation</t>
        </is>
      </c>
    </row>
    <row r="7">
      <c r="A7" s="4" t="inlineStr">
        <is>
          <t>遮阳帘</t>
        </is>
      </c>
      <c r="B7" s="4" t="inlineStr">
        <is>
          <t>已关闭</t>
        </is>
      </c>
      <c r="C7" s="4" t="n">
        <v>0</v>
      </c>
      <c r="D7" s="4" t="inlineStr">
        <is>
          <t>shading</t>
        </is>
      </c>
    </row>
    <row r="8">
      <c r="A8" s="4" t="inlineStr">
        <is>
          <t>加热系统</t>
        </is>
      </c>
      <c r="B8" s="4" t="inlineStr">
        <is>
          <t>已关闭</t>
        </is>
      </c>
      <c r="C8" s="4" t="n">
        <v>0</v>
      </c>
      <c r="D8" s="4" t="inlineStr">
        <is>
          <t>heating</t>
        </is>
      </c>
    </row>
    <row r="9">
      <c r="A9" s="4" t="inlineStr">
        <is>
          <t>CO₂发生器</t>
        </is>
      </c>
      <c r="B9" s="4" t="inlineStr">
        <is>
          <t>运行中</t>
        </is>
      </c>
      <c r="C9" s="4" t="n">
        <v>45</v>
      </c>
      <c r="D9" s="4" t="inlineStr">
        <is>
          <t>co2</t>
        </is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13" customWidth="1" min="3" max="3"/>
    <col width="45" customWidth="1" min="4" max="4"/>
    <col width="11" customWidth="1" min="5" max="5"/>
  </cols>
  <sheetData>
    <row r="1">
      <c r="A1" s="6" t="inlineStr">
        <is>
          <t>告警记录</t>
        </is>
      </c>
    </row>
    <row r="2"/>
    <row r="3">
      <c r="A3" s="5" t="inlineStr">
        <is>
          <t>时间</t>
        </is>
      </c>
      <c r="B3" s="5" t="inlineStr">
        <is>
          <t>类型</t>
        </is>
      </c>
      <c r="C3" s="5" t="inlineStr">
        <is>
          <t>告警信息</t>
        </is>
      </c>
      <c r="D3" s="5" t="inlineStr">
        <is>
          <t>详细描述</t>
        </is>
      </c>
      <c r="E3" s="5" t="inlineStr">
        <is>
          <t>严重程度</t>
        </is>
      </c>
    </row>
    <row r="4">
      <c r="A4" s="4" t="inlineStr">
        <is>
          <t>14:34:42</t>
        </is>
      </c>
      <c r="B4" s="4" t="inlineStr">
        <is>
          <t>pest</t>
        </is>
      </c>
      <c r="C4" s="4" t="inlineStr">
        <is>
          <t>钻心虫声学信号增强</t>
        </is>
      </c>
      <c r="D4" s="4" t="inlineStr">
        <is>
          <t>虫害声学识别模型检测到钻心虫活动信号增强，建议加强监测并考虑生物防治。</t>
        </is>
      </c>
      <c r="E4" s="7" t="inlineStr">
        <is>
          <t>warning</t>
        </is>
      </c>
    </row>
    <row r="5">
      <c r="A5" s="4" t="inlineStr">
        <is>
          <t>14:28:15</t>
        </is>
      </c>
      <c r="B5" s="4" t="inlineStr">
        <is>
          <t>env</t>
        </is>
      </c>
      <c r="C5" s="4" t="inlineStr">
        <is>
          <t>棚内湿度偏高</t>
        </is>
      </c>
      <c r="D5" s="4" t="inlineStr">
        <is>
          <t>当前空气湿度68.2%，超出适宜范围（50-65%），建议开启通风系统。</t>
        </is>
      </c>
      <c r="E5" s="7" t="inlineStr">
        <is>
          <t>warning</t>
        </is>
      </c>
    </row>
    <row r="6">
      <c r="A6" s="4" t="inlineStr">
        <is>
          <t>14:15:00</t>
        </is>
      </c>
      <c r="B6" s="4" t="inlineStr">
        <is>
          <t>device</t>
        </is>
      </c>
      <c r="C6" s="4" t="inlineStr">
        <is>
          <t>水肥机管道压力异常</t>
        </is>
      </c>
      <c r="D6" s="4" t="inlineStr">
        <is>
          <t>水肥机输出管道压力为0.42MPa，超出正常范围，建议检查管道是否堵塞。</t>
        </is>
      </c>
      <c r="E6" s="8" t="inlineStr">
        <is>
          <t>danger</t>
        </is>
      </c>
    </row>
    <row r="7">
      <c r="A7" s="4" t="inlineStr">
        <is>
          <t>13:55:30</t>
        </is>
      </c>
      <c r="B7" s="4" t="inlineStr">
        <is>
          <t>env</t>
        </is>
      </c>
      <c r="C7" s="4" t="inlineStr">
        <is>
          <t>光照强度波动较大</t>
        </is>
      </c>
      <c r="D7" s="4" t="inlineStr">
        <is>
          <t>过去30分钟光照强度在12000-18500lux间波动，建议检查补光灯运行状态。</t>
        </is>
      </c>
      <c r="E7" s="9" t="inlineStr">
        <is>
          <t>info</t>
        </is>
      </c>
    </row>
  </sheetData>
  <mergeCells count="1">
    <mergeCell ref="A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13" customWidth="1" min="1" max="1"/>
    <col width="8" customWidth="1" min="2" max="2"/>
    <col width="8" customWidth="1" min="3" max="3"/>
    <col width="9" customWidth="1" min="4" max="4"/>
  </cols>
  <sheetData>
    <row r="1">
      <c r="A1" s="6" t="inlineStr">
        <is>
          <t>传感器历史数据趋势</t>
        </is>
      </c>
    </row>
    <row r="2"/>
    <row r="3">
      <c r="A3" s="5" t="inlineStr">
        <is>
          <t>时间</t>
        </is>
      </c>
      <c r="B3" s="5" t="inlineStr">
        <is>
          <t>棚内温度</t>
        </is>
      </c>
      <c r="C3" s="5" t="inlineStr">
        <is>
          <t>棚内湿度</t>
        </is>
      </c>
      <c r="D3" s="5" t="inlineStr">
        <is>
          <t>CO₂浓度</t>
        </is>
      </c>
    </row>
    <row r="4">
      <c r="A4" s="4" t="inlineStr">
        <is>
          <t>18:55:46</t>
        </is>
      </c>
      <c r="B4" s="4" t="n">
        <v>26.3</v>
      </c>
      <c r="C4" s="4" t="n">
        <v>68</v>
      </c>
      <c r="D4" s="4" t="n">
        <v>615</v>
      </c>
    </row>
    <row r="5">
      <c r="A5" s="4" t="inlineStr">
        <is>
          <t>19:05:46</t>
        </is>
      </c>
      <c r="B5" s="4" t="n">
        <v>26.5</v>
      </c>
      <c r="C5" s="4" t="n">
        <v>68.40000000000001</v>
      </c>
      <c r="D5" s="4" t="n">
        <v>615</v>
      </c>
    </row>
    <row r="6">
      <c r="A6" s="4" t="inlineStr">
        <is>
          <t>19:15:46</t>
        </is>
      </c>
      <c r="B6" s="4" t="n">
        <v>26.3</v>
      </c>
      <c r="C6" s="4" t="n">
        <v>68.2</v>
      </c>
      <c r="D6" s="4" t="n">
        <v>612</v>
      </c>
    </row>
    <row r="7">
      <c r="A7" s="4" t="inlineStr">
        <is>
          <t>19:25:46</t>
        </is>
      </c>
      <c r="B7" s="4" t="n">
        <v>26.4</v>
      </c>
      <c r="C7" s="4" t="n">
        <v>67.90000000000001</v>
      </c>
      <c r="D7" s="4" t="n">
        <v>614</v>
      </c>
    </row>
    <row r="8">
      <c r="A8" s="4" t="inlineStr">
        <is>
          <t>19:35:46</t>
        </is>
      </c>
      <c r="B8" s="4" t="n">
        <v>26.4</v>
      </c>
      <c r="C8" s="4" t="n">
        <v>68.5</v>
      </c>
      <c r="D8" s="4" t="n">
        <v>611</v>
      </c>
    </row>
    <row r="9">
      <c r="A9" s="4" t="inlineStr">
        <is>
          <t>19:45:46</t>
        </is>
      </c>
      <c r="B9" s="4" t="n">
        <v>26.5</v>
      </c>
      <c r="C9" s="4" t="n">
        <v>68.3</v>
      </c>
      <c r="D9" s="4" t="n">
        <v>614</v>
      </c>
    </row>
    <row r="10">
      <c r="A10" s="4" t="inlineStr">
        <is>
          <t>19:55:46</t>
        </is>
      </c>
      <c r="B10" s="4" t="n">
        <v>26.5</v>
      </c>
      <c r="C10" s="4" t="n">
        <v>67.90000000000001</v>
      </c>
      <c r="D10" s="4" t="n">
        <v>615</v>
      </c>
    </row>
    <row r="11">
      <c r="A11" s="4" t="inlineStr">
        <is>
          <t>20:05:46</t>
        </is>
      </c>
      <c r="B11" s="4" t="n">
        <v>26.5</v>
      </c>
      <c r="C11" s="4" t="n">
        <v>68.40000000000001</v>
      </c>
      <c r="D11" s="4" t="n">
        <v>612</v>
      </c>
    </row>
    <row r="12">
      <c r="A12" s="4" t="inlineStr">
        <is>
          <t>20:15:46</t>
        </is>
      </c>
      <c r="B12" s="4" t="n">
        <v>26.4</v>
      </c>
      <c r="C12" s="4" t="n">
        <v>68.3</v>
      </c>
      <c r="D12" s="4" t="n">
        <v>613</v>
      </c>
    </row>
    <row r="13">
      <c r="A13" s="4" t="inlineStr">
        <is>
          <t>20:25:46</t>
        </is>
      </c>
      <c r="B13" s="4" t="n">
        <v>26.3</v>
      </c>
      <c r="C13" s="4" t="n">
        <v>67.90000000000001</v>
      </c>
      <c r="D13" s="4" t="n">
        <v>615</v>
      </c>
    </row>
    <row r="14">
      <c r="A14" s="4" t="inlineStr">
        <is>
          <t>20:35:46</t>
        </is>
      </c>
      <c r="B14" s="4" t="n">
        <v>26.5</v>
      </c>
      <c r="C14" s="4" t="n">
        <v>68.40000000000001</v>
      </c>
      <c r="D14" s="4" t="n">
        <v>610</v>
      </c>
    </row>
    <row r="15">
      <c r="A15" s="4" t="inlineStr">
        <is>
          <t>20:45:46</t>
        </is>
      </c>
      <c r="B15" s="4" t="n">
        <v>26.3</v>
      </c>
      <c r="C15" s="4" t="n">
        <v>67.90000000000001</v>
      </c>
      <c r="D15" s="4" t="n">
        <v>614</v>
      </c>
    </row>
    <row r="16">
      <c r="A16" s="4" t="inlineStr">
        <is>
          <t>20:55:46</t>
        </is>
      </c>
      <c r="B16" s="4" t="n">
        <v>26.5</v>
      </c>
      <c r="C16" s="4" t="n">
        <v>68.5</v>
      </c>
      <c r="D16" s="4" t="n">
        <v>612</v>
      </c>
    </row>
    <row r="17">
      <c r="A17" s="4" t="inlineStr">
        <is>
          <t>21:05:46</t>
        </is>
      </c>
      <c r="B17" s="4" t="n">
        <v>26.5</v>
      </c>
      <c r="C17" s="4" t="n">
        <v>68.2</v>
      </c>
      <c r="D17" s="4" t="n">
        <v>612</v>
      </c>
    </row>
    <row r="18">
      <c r="A18" s="4" t="inlineStr">
        <is>
          <t>21:15:46</t>
        </is>
      </c>
      <c r="B18" s="4" t="n">
        <v>26.4</v>
      </c>
      <c r="C18" s="4" t="n">
        <v>68.59999999999999</v>
      </c>
      <c r="D18" s="4" t="n">
        <v>612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2026-05-18T13:15:46Z</dcterms:created>
  <dcterms:modified xsi:type="dcterms:W3CDTF">2026-05-18T13:15:46Z</dcterms:modified>
</cp:coreProperties>
</file>